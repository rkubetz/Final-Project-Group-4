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 (April 21-25)" sheetId="1" r:id="rId4"/>
    <sheet state="visible" name="Sprint 2 (April 28- May 2)" sheetId="2" r:id="rId5"/>
  </sheets>
  <definedNames/>
  <calcPr/>
  <extLst>
    <ext uri="GoogleSheetsCustomDataVersion2">
      <go:sheetsCustomData xmlns:go="http://customooxmlschemas.google.com/" r:id="rId6" roundtripDataChecksum="pK1zWhKGuA+ibaFqbN+UE9R6/quFYI2YZYVSND7vn7Y="/>
    </ext>
  </extLst>
</workbook>
</file>

<file path=xl/sharedStrings.xml><?xml version="1.0" encoding="utf-8"?>
<sst xmlns="http://schemas.openxmlformats.org/spreadsheetml/2006/main" count="84" uniqueCount="37">
  <si>
    <t>ITSC-3155 Software Engineering</t>
  </si>
  <si>
    <t>Sprint 1 Backlog (April 21-25)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</si>
  <si>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</si>
  <si>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</si>
  <si>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</si>
  <si>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</si>
  <si>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</si>
  <si>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</si>
  <si>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</si>
  <si>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</si>
  <si>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</si>
  <si>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</si>
  <si>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</si>
  <si>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</si>
  <si>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#1: Guest Checkout</t>
  </si>
  <si>
    <t>All</t>
  </si>
  <si>
    <t>To Do</t>
  </si>
  <si>
    <t>Design Order DB Schema</t>
  </si>
  <si>
    <t>Done</t>
  </si>
  <si>
    <t>Implement Order Endpoints</t>
  </si>
  <si>
    <t>#2: Menu Filtering</t>
  </si>
  <si>
    <t>Create Category Filters</t>
  </si>
  <si>
    <t>Implement GET</t>
  </si>
  <si>
    <t>#3: API &amp; DB Core Setup</t>
  </si>
  <si>
    <t>Connect FastAPI to MySQL</t>
  </si>
  <si>
    <t>Define Base Models &amp; Auth</t>
  </si>
  <si>
    <t>TOTAL</t>
  </si>
  <si>
    <t>Sprint 2 Backlog (April 21- May 2)</t>
  </si>
  <si>
    <t>#1: Customer Perspectives</t>
  </si>
  <si>
    <t>Write SQL for 7 Customer Qs</t>
  </si>
  <si>
    <t>Map Customer Endpoints in FastAPI</t>
  </si>
  <si>
    <t>#2: Staff Perspectives</t>
  </si>
  <si>
    <t>Write SQL for 7 Staff Qs</t>
  </si>
  <si>
    <t>Map Staff Endpoints in FastAPI</t>
  </si>
  <si>
    <t>#3: QA &amp; Final Presentation</t>
  </si>
  <si>
    <t>Implement Unit Tests (pytest)</t>
  </si>
  <si>
    <t>Record 5 min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</si>
</sst>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/>
    </xf>
    <xf borderId="7" fillId="5" fontId="4" numFmtId="0" xfId="0" applyAlignment="1" applyBorder="1" applyFill="1" applyFont="1">
      <alignment readingOrder="0"/>
    </xf>
    <xf borderId="8" fillId="5" fontId="4" numFmtId="0" xfId="0" applyAlignment="1" applyBorder="1" applyFont="1">
      <alignment horizontal="center"/>
    </xf>
    <xf borderId="8" fillId="5" fontId="5" numFmtId="0" xfId="0" applyAlignment="1" applyBorder="1" applyFont="1">
      <alignment readingOrder="0"/>
    </xf>
    <xf borderId="8" fillId="5" fontId="5" numFmtId="0" xfId="0" applyBorder="1" applyFont="1"/>
    <xf borderId="8" fillId="5" fontId="6" numFmtId="0" xfId="0" applyBorder="1" applyFont="1"/>
    <xf borderId="9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right" readingOrder="0"/>
    </xf>
    <xf borderId="10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7" fillId="6" fontId="3" numFmtId="0" xfId="0" applyBorder="1" applyFill="1" applyFont="1"/>
    <xf borderId="8" fillId="6" fontId="3" numFmtId="0" xfId="0" applyBorder="1" applyFont="1"/>
    <xf borderId="8" fillId="6" fontId="3" numFmtId="0" xfId="0" applyAlignment="1" applyBorder="1" applyFont="1">
      <alignment horizontal="right"/>
    </xf>
    <xf borderId="8" fillId="5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12.63"/>
    <col customWidth="1" min="4" max="4" width="14.75"/>
    <col customWidth="1" min="5" max="6" width="12.63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ht="15.75" customHeight="1">
      <c r="A4" s="9" t="s">
        <v>14</v>
      </c>
      <c r="B4" s="10">
        <v>8.0</v>
      </c>
      <c r="C4" s="11" t="s">
        <v>15</v>
      </c>
      <c r="D4" s="12">
        <f t="shared" ref="D4:J4" si="1">SUM(D5:D8)</f>
        <v>14</v>
      </c>
      <c r="E4" s="12">
        <f t="shared" si="1"/>
        <v>4</v>
      </c>
      <c r="F4" s="12">
        <f t="shared" si="1"/>
        <v>4</v>
      </c>
      <c r="G4" s="12">
        <f t="shared" si="1"/>
        <v>3</v>
      </c>
      <c r="H4" s="12">
        <f t="shared" si="1"/>
        <v>3</v>
      </c>
      <c r="I4" s="12">
        <f t="shared" si="1"/>
        <v>0</v>
      </c>
      <c r="J4" s="12">
        <f t="shared" si="1"/>
        <v>0</v>
      </c>
      <c r="K4" s="13" t="s">
        <v>16</v>
      </c>
      <c r="L4" s="12"/>
    </row>
    <row r="5" ht="15.75" customHeight="1">
      <c r="A5" s="14" t="s">
        <v>17</v>
      </c>
      <c r="B5" s="15"/>
      <c r="C5" s="16" t="s">
        <v>15</v>
      </c>
      <c r="D5" s="17">
        <v>6.0</v>
      </c>
      <c r="E5" s="17">
        <v>4.0</v>
      </c>
      <c r="F5" s="17">
        <v>2.0</v>
      </c>
      <c r="G5" s="18">
        <v>0.0</v>
      </c>
      <c r="H5" s="18">
        <v>0.0</v>
      </c>
      <c r="I5" s="18">
        <v>0.0</v>
      </c>
      <c r="J5" s="18">
        <v>0.0</v>
      </c>
      <c r="K5" s="16" t="s">
        <v>18</v>
      </c>
      <c r="L5" s="17">
        <v>6.0</v>
      </c>
    </row>
    <row r="6" ht="15.75" customHeight="1">
      <c r="A6" s="14" t="s">
        <v>19</v>
      </c>
      <c r="B6" s="19"/>
      <c r="C6" s="16" t="s">
        <v>15</v>
      </c>
      <c r="D6" s="18">
        <v>8.0</v>
      </c>
      <c r="E6" s="17">
        <v>0.0</v>
      </c>
      <c r="F6" s="17">
        <v>2.0</v>
      </c>
      <c r="G6" s="17">
        <v>3.0</v>
      </c>
      <c r="H6" s="17">
        <v>3.0</v>
      </c>
      <c r="I6" s="17">
        <v>0.0</v>
      </c>
      <c r="J6" s="18">
        <v>0.0</v>
      </c>
      <c r="K6" s="16" t="s">
        <v>18</v>
      </c>
      <c r="L6" s="17">
        <v>8.0</v>
      </c>
    </row>
    <row r="7" ht="15.75" customHeight="1">
      <c r="A7" s="20"/>
      <c r="B7" s="19"/>
      <c r="C7" s="21"/>
      <c r="D7" s="18"/>
      <c r="E7" s="18"/>
      <c r="F7" s="18"/>
      <c r="G7" s="18"/>
      <c r="H7" s="18"/>
      <c r="I7" s="18"/>
      <c r="J7" s="18"/>
      <c r="K7" s="21"/>
      <c r="L7" s="18"/>
    </row>
    <row r="8" ht="15.75" customHeight="1">
      <c r="A8" s="20"/>
      <c r="B8" s="19"/>
      <c r="C8" s="21"/>
      <c r="D8" s="18"/>
      <c r="E8" s="18"/>
      <c r="F8" s="18"/>
      <c r="G8" s="18"/>
      <c r="H8" s="18"/>
      <c r="I8" s="18"/>
      <c r="J8" s="18"/>
      <c r="K8" s="21"/>
      <c r="L8" s="18"/>
    </row>
    <row r="9" ht="15.75" customHeight="1">
      <c r="A9" s="9" t="s">
        <v>20</v>
      </c>
      <c r="B9" s="10">
        <v>13.0</v>
      </c>
      <c r="C9" s="11" t="s">
        <v>15</v>
      </c>
      <c r="D9" s="12">
        <f t="shared" ref="D9:J9" si="2">SUM(D10:D13)</f>
        <v>10</v>
      </c>
      <c r="E9" s="12">
        <f t="shared" si="2"/>
        <v>0</v>
      </c>
      <c r="F9" s="12">
        <f t="shared" si="2"/>
        <v>2</v>
      </c>
      <c r="G9" s="12">
        <f t="shared" si="2"/>
        <v>4</v>
      </c>
      <c r="H9" s="12">
        <f t="shared" si="2"/>
        <v>2</v>
      </c>
      <c r="I9" s="12">
        <f t="shared" si="2"/>
        <v>2</v>
      </c>
      <c r="J9" s="12">
        <f t="shared" si="2"/>
        <v>0</v>
      </c>
      <c r="K9" s="13" t="s">
        <v>16</v>
      </c>
      <c r="L9" s="12"/>
    </row>
    <row r="10" ht="15.75" customHeight="1">
      <c r="A10" s="14" t="s">
        <v>21</v>
      </c>
      <c r="B10" s="19"/>
      <c r="C10" s="16" t="s">
        <v>15</v>
      </c>
      <c r="D10" s="17">
        <v>6.0</v>
      </c>
      <c r="E10" s="17">
        <v>0.0</v>
      </c>
      <c r="F10" s="17">
        <v>2.0</v>
      </c>
      <c r="G10" s="17">
        <v>2.0</v>
      </c>
      <c r="H10" s="17">
        <v>2.0</v>
      </c>
      <c r="I10" s="18">
        <v>0.0</v>
      </c>
      <c r="J10" s="18">
        <v>0.0</v>
      </c>
      <c r="K10" s="16" t="s">
        <v>18</v>
      </c>
      <c r="L10" s="17">
        <v>6.0</v>
      </c>
    </row>
    <row r="11" ht="15.75" customHeight="1">
      <c r="A11" s="14" t="s">
        <v>22</v>
      </c>
      <c r="B11" s="19"/>
      <c r="C11" s="16" t="s">
        <v>15</v>
      </c>
      <c r="D11" s="17">
        <v>4.0</v>
      </c>
      <c r="E11" s="17">
        <v>0.0</v>
      </c>
      <c r="F11" s="17">
        <v>0.0</v>
      </c>
      <c r="G11" s="17">
        <v>2.0</v>
      </c>
      <c r="H11" s="17">
        <v>0.0</v>
      </c>
      <c r="I11" s="17">
        <v>2.0</v>
      </c>
      <c r="J11" s="18">
        <v>0.0</v>
      </c>
      <c r="K11" s="16" t="s">
        <v>18</v>
      </c>
      <c r="L11" s="17">
        <v>4.0</v>
      </c>
    </row>
    <row r="12" ht="15.75" customHeight="1">
      <c r="A12" s="20"/>
      <c r="B12" s="19"/>
      <c r="C12" s="21"/>
      <c r="D12" s="18"/>
      <c r="E12" s="18"/>
      <c r="F12" s="18"/>
      <c r="G12" s="18"/>
      <c r="H12" s="18"/>
      <c r="I12" s="18"/>
      <c r="J12" s="18"/>
      <c r="K12" s="21"/>
      <c r="L12" s="17"/>
    </row>
    <row r="13" ht="15.75" customHeight="1">
      <c r="A13" s="20"/>
      <c r="B13" s="19"/>
      <c r="C13" s="21"/>
      <c r="D13" s="18"/>
      <c r="E13" s="18"/>
      <c r="F13" s="18"/>
      <c r="G13" s="18"/>
      <c r="H13" s="18"/>
      <c r="I13" s="18"/>
      <c r="J13" s="18"/>
      <c r="K13" s="21"/>
      <c r="L13" s="17"/>
    </row>
    <row r="14" ht="15.75" customHeight="1">
      <c r="A14" s="9" t="s">
        <v>23</v>
      </c>
      <c r="B14" s="10">
        <v>5.0</v>
      </c>
      <c r="C14" s="11" t="s">
        <v>15</v>
      </c>
      <c r="D14" s="12">
        <f t="shared" ref="D14:J14" si="3">SUM(D15:D18)</f>
        <v>12</v>
      </c>
      <c r="E14" s="12">
        <f t="shared" si="3"/>
        <v>6</v>
      </c>
      <c r="F14" s="12">
        <f t="shared" si="3"/>
        <v>4</v>
      </c>
      <c r="G14" s="12">
        <f t="shared" si="3"/>
        <v>2</v>
      </c>
      <c r="H14" s="12">
        <f t="shared" si="3"/>
        <v>0</v>
      </c>
      <c r="I14" s="12">
        <f t="shared" si="3"/>
        <v>0</v>
      </c>
      <c r="J14" s="12">
        <f t="shared" si="3"/>
        <v>0</v>
      </c>
      <c r="K14" s="13" t="s">
        <v>16</v>
      </c>
      <c r="L14" s="12"/>
    </row>
    <row r="15" ht="15.75" customHeight="1">
      <c r="A15" s="14" t="s">
        <v>24</v>
      </c>
      <c r="B15" s="19"/>
      <c r="C15" s="16" t="s">
        <v>15</v>
      </c>
      <c r="D15" s="17">
        <v>6.0</v>
      </c>
      <c r="E15" s="17">
        <v>4.0</v>
      </c>
      <c r="F15" s="17">
        <v>2.0</v>
      </c>
      <c r="G15" s="18">
        <v>0.0</v>
      </c>
      <c r="H15" s="18">
        <v>0.0</v>
      </c>
      <c r="I15" s="18">
        <v>0.0</v>
      </c>
      <c r="J15" s="18">
        <v>0.0</v>
      </c>
      <c r="K15" s="16" t="s">
        <v>18</v>
      </c>
      <c r="L15" s="17">
        <v>6.0</v>
      </c>
    </row>
    <row r="16" ht="15.75" customHeight="1">
      <c r="A16" s="14" t="s">
        <v>25</v>
      </c>
      <c r="B16" s="19"/>
      <c r="C16" s="16" t="s">
        <v>15</v>
      </c>
      <c r="D16" s="17">
        <v>6.0</v>
      </c>
      <c r="E16" s="17">
        <v>2.0</v>
      </c>
      <c r="F16" s="17">
        <v>2.0</v>
      </c>
      <c r="G16" s="17">
        <v>2.0</v>
      </c>
      <c r="H16" s="17">
        <v>0.0</v>
      </c>
      <c r="I16" s="18">
        <v>0.0</v>
      </c>
      <c r="J16" s="18">
        <v>0.0</v>
      </c>
      <c r="K16" s="16" t="s">
        <v>18</v>
      </c>
      <c r="L16" s="17">
        <v>6.0</v>
      </c>
    </row>
    <row r="17" ht="15.75" customHeight="1">
      <c r="A17" s="20"/>
      <c r="B17" s="19"/>
      <c r="C17" s="21"/>
      <c r="D17" s="18"/>
      <c r="E17" s="18"/>
      <c r="F17" s="18"/>
      <c r="G17" s="18"/>
      <c r="H17" s="18"/>
      <c r="I17" s="18"/>
      <c r="J17" s="18"/>
      <c r="K17" s="21"/>
      <c r="L17" s="18"/>
    </row>
    <row r="18" ht="15.75" customHeight="1">
      <c r="A18" s="20"/>
      <c r="B18" s="19"/>
      <c r="C18" s="21"/>
      <c r="D18" s="18"/>
      <c r="E18" s="18"/>
      <c r="F18" s="18"/>
      <c r="G18" s="18"/>
      <c r="H18" s="18"/>
      <c r="I18" s="18"/>
      <c r="J18" s="18"/>
      <c r="K18" s="21"/>
      <c r="L18" s="17"/>
    </row>
    <row r="19" ht="15.75" customHeight="1">
      <c r="A19" s="22" t="s">
        <v>26</v>
      </c>
      <c r="B19" s="23"/>
      <c r="C19" s="23"/>
      <c r="D19" s="24">
        <f t="shared" ref="D19:J19" si="4">D4+D9+D14</f>
        <v>36</v>
      </c>
      <c r="E19" s="24">
        <f t="shared" si="4"/>
        <v>10</v>
      </c>
      <c r="F19" s="24">
        <f t="shared" si="4"/>
        <v>10</v>
      </c>
      <c r="G19" s="24">
        <f t="shared" si="4"/>
        <v>9</v>
      </c>
      <c r="H19" s="24">
        <f t="shared" si="4"/>
        <v>5</v>
      </c>
      <c r="I19" s="24">
        <f t="shared" si="4"/>
        <v>2</v>
      </c>
      <c r="J19" s="24">
        <f t="shared" si="4"/>
        <v>0</v>
      </c>
      <c r="K19" s="23"/>
      <c r="L19" s="24">
        <v>14.0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1:L1"/>
    <mergeCell ref="A2:L2"/>
  </mergeCells>
  <dataValidations>
    <dataValidation type="list" allowBlank="1" showErrorMessage="1" sqref="K4:K18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12.63"/>
    <col customWidth="1" min="4" max="4" width="14.75"/>
    <col customWidth="1" min="5" max="6" width="12.63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27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ht="15.75" customHeight="1">
      <c r="A4" s="9" t="s">
        <v>28</v>
      </c>
      <c r="B4" s="25">
        <v>13.0</v>
      </c>
      <c r="C4" s="11" t="s">
        <v>15</v>
      </c>
      <c r="D4" s="12">
        <f t="shared" ref="D4:J4" si="1">SUM(D5:D8)</f>
        <v>15</v>
      </c>
      <c r="E4" s="12">
        <f t="shared" si="1"/>
        <v>5</v>
      </c>
      <c r="F4" s="12">
        <f t="shared" si="1"/>
        <v>5</v>
      </c>
      <c r="G4" s="12">
        <f t="shared" si="1"/>
        <v>3</v>
      </c>
      <c r="H4" s="12">
        <f t="shared" si="1"/>
        <v>2</v>
      </c>
      <c r="I4" s="12">
        <f t="shared" si="1"/>
        <v>0</v>
      </c>
      <c r="J4" s="12">
        <f t="shared" si="1"/>
        <v>0</v>
      </c>
      <c r="K4" s="13" t="s">
        <v>16</v>
      </c>
      <c r="L4" s="12"/>
    </row>
    <row r="5" ht="15.75" customHeight="1">
      <c r="A5" s="14" t="s">
        <v>29</v>
      </c>
      <c r="B5" s="15"/>
      <c r="C5" s="16" t="s">
        <v>15</v>
      </c>
      <c r="D5" s="17">
        <v>10.0</v>
      </c>
      <c r="E5" s="17">
        <v>3.0</v>
      </c>
      <c r="F5" s="17">
        <v>4.0</v>
      </c>
      <c r="G5" s="17">
        <v>3.0</v>
      </c>
      <c r="H5" s="17">
        <v>0.0</v>
      </c>
      <c r="I5" s="17">
        <v>0.0</v>
      </c>
      <c r="J5" s="17">
        <v>0.0</v>
      </c>
      <c r="K5" s="16" t="s">
        <v>18</v>
      </c>
      <c r="L5" s="17">
        <v>10.0</v>
      </c>
    </row>
    <row r="6" ht="15.75" customHeight="1">
      <c r="A6" s="14" t="s">
        <v>30</v>
      </c>
      <c r="B6" s="19"/>
      <c r="C6" s="16" t="s">
        <v>15</v>
      </c>
      <c r="D6" s="17">
        <v>5.0</v>
      </c>
      <c r="E6" s="17">
        <v>2.0</v>
      </c>
      <c r="F6" s="17">
        <v>1.0</v>
      </c>
      <c r="G6" s="17">
        <v>0.0</v>
      </c>
      <c r="H6" s="17">
        <v>2.0</v>
      </c>
      <c r="I6" s="17">
        <v>0.0</v>
      </c>
      <c r="J6" s="17">
        <v>0.0</v>
      </c>
      <c r="K6" s="16" t="s">
        <v>18</v>
      </c>
      <c r="L6" s="17">
        <v>5.0</v>
      </c>
    </row>
    <row r="7" ht="15.75" customHeight="1">
      <c r="A7" s="20"/>
      <c r="B7" s="19"/>
      <c r="C7" s="21"/>
      <c r="D7" s="18"/>
      <c r="E7" s="18"/>
      <c r="F7" s="18"/>
      <c r="G7" s="18"/>
      <c r="H7" s="18"/>
      <c r="I7" s="18"/>
      <c r="J7" s="18"/>
      <c r="K7" s="21"/>
      <c r="L7" s="18"/>
    </row>
    <row r="8" ht="15.75" customHeight="1">
      <c r="A8" s="20"/>
      <c r="B8" s="19"/>
      <c r="C8" s="21"/>
      <c r="D8" s="18"/>
      <c r="E8" s="18"/>
      <c r="F8" s="18"/>
      <c r="G8" s="18"/>
      <c r="H8" s="18"/>
      <c r="I8" s="18"/>
      <c r="J8" s="18"/>
      <c r="K8" s="21"/>
      <c r="L8" s="18"/>
    </row>
    <row r="9" ht="15.75" customHeight="1">
      <c r="A9" s="9" t="s">
        <v>31</v>
      </c>
      <c r="B9" s="10">
        <v>13.0</v>
      </c>
      <c r="C9" s="11" t="s">
        <v>15</v>
      </c>
      <c r="D9" s="12">
        <f t="shared" ref="D9:J9" si="2">SUM(D10:D13)</f>
        <v>15</v>
      </c>
      <c r="E9" s="12">
        <f t="shared" si="2"/>
        <v>0</v>
      </c>
      <c r="F9" s="12">
        <f t="shared" si="2"/>
        <v>4</v>
      </c>
      <c r="G9" s="12">
        <f t="shared" si="2"/>
        <v>5</v>
      </c>
      <c r="H9" s="12">
        <f t="shared" si="2"/>
        <v>4</v>
      </c>
      <c r="I9" s="12">
        <f t="shared" si="2"/>
        <v>2</v>
      </c>
      <c r="J9" s="12">
        <f t="shared" si="2"/>
        <v>0</v>
      </c>
      <c r="K9" s="13" t="s">
        <v>16</v>
      </c>
      <c r="L9" s="12"/>
    </row>
    <row r="10" ht="15.75" customHeight="1">
      <c r="A10" s="14" t="s">
        <v>32</v>
      </c>
      <c r="B10" s="19"/>
      <c r="C10" s="16" t="s">
        <v>15</v>
      </c>
      <c r="D10" s="17">
        <v>10.0</v>
      </c>
      <c r="E10" s="17">
        <v>0.0</v>
      </c>
      <c r="F10" s="17">
        <v>2.0</v>
      </c>
      <c r="G10" s="17">
        <v>3.0</v>
      </c>
      <c r="H10" s="17">
        <v>3.0</v>
      </c>
      <c r="I10" s="17">
        <v>2.0</v>
      </c>
      <c r="J10" s="17">
        <v>0.0</v>
      </c>
      <c r="K10" s="16" t="s">
        <v>18</v>
      </c>
      <c r="L10" s="17">
        <v>10.0</v>
      </c>
    </row>
    <row r="11" ht="15.75" customHeight="1">
      <c r="A11" s="14" t="s">
        <v>33</v>
      </c>
      <c r="B11" s="19"/>
      <c r="C11" s="16" t="s">
        <v>15</v>
      </c>
      <c r="D11" s="17">
        <v>5.0</v>
      </c>
      <c r="E11" s="17">
        <v>0.0</v>
      </c>
      <c r="F11" s="17">
        <v>2.0</v>
      </c>
      <c r="G11" s="17">
        <v>2.0</v>
      </c>
      <c r="H11" s="17">
        <v>1.0</v>
      </c>
      <c r="I11" s="17">
        <v>0.0</v>
      </c>
      <c r="J11" s="17">
        <v>0.0</v>
      </c>
      <c r="K11" s="16" t="s">
        <v>18</v>
      </c>
      <c r="L11" s="17">
        <v>5.0</v>
      </c>
    </row>
    <row r="12" ht="15.75" customHeight="1">
      <c r="A12" s="20"/>
      <c r="B12" s="19"/>
      <c r="C12" s="21"/>
      <c r="D12" s="18"/>
      <c r="E12" s="18"/>
      <c r="F12" s="18"/>
      <c r="G12" s="18"/>
      <c r="H12" s="18"/>
      <c r="I12" s="18"/>
      <c r="J12" s="18"/>
      <c r="K12" s="21"/>
      <c r="L12" s="17"/>
    </row>
    <row r="13" ht="15.75" customHeight="1">
      <c r="A13" s="20"/>
      <c r="B13" s="19"/>
      <c r="C13" s="21"/>
      <c r="D13" s="18"/>
      <c r="E13" s="18"/>
      <c r="F13" s="18"/>
      <c r="G13" s="18"/>
      <c r="H13" s="18"/>
      <c r="I13" s="18"/>
      <c r="J13" s="18"/>
      <c r="K13" s="21"/>
      <c r="L13" s="17"/>
    </row>
    <row r="14" ht="15.75" customHeight="1">
      <c r="A14" s="9" t="s">
        <v>34</v>
      </c>
      <c r="B14" s="10">
        <v>5.0</v>
      </c>
      <c r="C14" s="11" t="s">
        <v>15</v>
      </c>
      <c r="D14" s="12">
        <f t="shared" ref="D14:J14" si="3">SUM(D15:D18)</f>
        <v>12</v>
      </c>
      <c r="E14" s="12">
        <f t="shared" si="3"/>
        <v>0</v>
      </c>
      <c r="F14" s="12">
        <f t="shared" si="3"/>
        <v>0</v>
      </c>
      <c r="G14" s="12">
        <f t="shared" si="3"/>
        <v>2</v>
      </c>
      <c r="H14" s="12">
        <f t="shared" si="3"/>
        <v>5</v>
      </c>
      <c r="I14" s="12">
        <f t="shared" si="3"/>
        <v>5</v>
      </c>
      <c r="J14" s="12">
        <f t="shared" si="3"/>
        <v>0</v>
      </c>
      <c r="K14" s="13" t="s">
        <v>16</v>
      </c>
      <c r="L14" s="12"/>
    </row>
    <row r="15" ht="15.75" customHeight="1">
      <c r="A15" s="14" t="s">
        <v>35</v>
      </c>
      <c r="B15" s="19"/>
      <c r="C15" s="16" t="s">
        <v>15</v>
      </c>
      <c r="D15" s="17">
        <v>6.0</v>
      </c>
      <c r="E15" s="17">
        <v>0.0</v>
      </c>
      <c r="F15" s="17">
        <v>0.0</v>
      </c>
      <c r="G15" s="17">
        <v>2.0</v>
      </c>
      <c r="H15" s="17">
        <v>2.0</v>
      </c>
      <c r="I15" s="17">
        <v>2.0</v>
      </c>
      <c r="J15" s="17">
        <v>0.0</v>
      </c>
      <c r="K15" s="16" t="s">
        <v>18</v>
      </c>
      <c r="L15" s="17">
        <v>6.0</v>
      </c>
    </row>
    <row r="16" ht="15.75" customHeight="1">
      <c r="A16" s="14" t="s">
        <v>36</v>
      </c>
      <c r="B16" s="19"/>
      <c r="C16" s="16" t="s">
        <v>15</v>
      </c>
      <c r="D16" s="17">
        <v>6.0</v>
      </c>
      <c r="E16" s="17">
        <v>0.0</v>
      </c>
      <c r="F16" s="17">
        <v>0.0</v>
      </c>
      <c r="G16" s="17">
        <v>0.0</v>
      </c>
      <c r="H16" s="17">
        <v>3.0</v>
      </c>
      <c r="I16" s="17">
        <v>3.0</v>
      </c>
      <c r="J16" s="17">
        <v>0.0</v>
      </c>
      <c r="K16" s="16" t="s">
        <v>18</v>
      </c>
      <c r="L16" s="17">
        <v>6.0</v>
      </c>
    </row>
    <row r="17" ht="15.75" customHeight="1">
      <c r="A17" s="20"/>
      <c r="B17" s="19"/>
      <c r="C17" s="21"/>
      <c r="D17" s="18"/>
      <c r="E17" s="18"/>
      <c r="F17" s="18"/>
      <c r="G17" s="18"/>
      <c r="H17" s="18"/>
      <c r="I17" s="18"/>
      <c r="J17" s="18"/>
      <c r="K17" s="21"/>
      <c r="L17" s="18"/>
    </row>
    <row r="18" ht="15.75" customHeight="1">
      <c r="A18" s="20"/>
      <c r="B18" s="19"/>
      <c r="C18" s="21"/>
      <c r="D18" s="18"/>
      <c r="E18" s="18"/>
      <c r="F18" s="18"/>
      <c r="G18" s="18"/>
      <c r="H18" s="18"/>
      <c r="I18" s="18"/>
      <c r="J18" s="18"/>
      <c r="K18" s="21"/>
      <c r="L18" s="17"/>
    </row>
    <row r="19" ht="15.75" customHeight="1">
      <c r="A19" s="22" t="s">
        <v>26</v>
      </c>
      <c r="B19" s="23"/>
      <c r="C19" s="23"/>
      <c r="D19" s="24">
        <f t="shared" ref="D19:J19" si="4">D4+D9+D14</f>
        <v>42</v>
      </c>
      <c r="E19" s="24">
        <f t="shared" si="4"/>
        <v>5</v>
      </c>
      <c r="F19" s="24">
        <f t="shared" si="4"/>
        <v>9</v>
      </c>
      <c r="G19" s="24">
        <f t="shared" si="4"/>
        <v>10</v>
      </c>
      <c r="H19" s="24">
        <f t="shared" si="4"/>
        <v>11</v>
      </c>
      <c r="I19" s="24">
        <f t="shared" si="4"/>
        <v>7</v>
      </c>
      <c r="J19" s="24">
        <f t="shared" si="4"/>
        <v>0</v>
      </c>
      <c r="K19" s="23"/>
      <c r="L19" s="24">
        <v>14.0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1:L1"/>
    <mergeCell ref="A2:L2"/>
  </mergeCells>
  <dataValidations>
    <dataValidation type="list" allowBlank="1" showErrorMessage="1" sqref="K4:K18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